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Drivers &amp; KPIs" sheetId="1" state="visible" r:id="rId1"/>
    <sheet xmlns:r="http://schemas.openxmlformats.org/officeDocument/2006/relationships" name="Industry Sources" sheetId="2" state="visible" r:id="rId2"/>
    <sheet xmlns:r="http://schemas.openxmlformats.org/officeDocument/2006/relationships" name="Scenario Analysis" sheetId="3" state="visible" r:id="rId3"/>
    <sheet xmlns:r="http://schemas.openxmlformats.org/officeDocument/2006/relationships" name="Revenue Scaling Calculat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x"/>
    <numFmt numFmtId="165" formatCode="€#,##0.0&quot; M&quot;"/>
  </numFmts>
  <fonts count="1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i val="1"/>
      <color rgb="00505050"/>
      <sz val="10"/>
    </font>
    <font>
      <b val="1"/>
      <color rgb="00C55A11"/>
      <sz val="10"/>
    </font>
    <font>
      <sz val="10"/>
    </font>
    <font>
      <b val="1"/>
      <color rgb="0070AD47"/>
      <sz val="10"/>
    </font>
    <font>
      <b val="1"/>
      <sz val="11"/>
    </font>
    <font>
      <b val="1"/>
      <color rgb="001F4E78"/>
      <sz val="10"/>
    </font>
    <font>
      <i val="1"/>
      <color rgb="00C55A11"/>
      <sz val="10"/>
    </font>
    <font>
      <b val="1"/>
      <sz val="10"/>
    </font>
    <font>
      <i val="1"/>
      <color rgb="001F4E78"/>
      <sz val="10"/>
    </font>
    <font>
      <i val="1"/>
      <sz val="10"/>
    </font>
    <font>
      <b val="1"/>
      <color rgb="00C55A11"/>
      <sz val="12"/>
    </font>
    <font>
      <i val="1"/>
      <color rgb="007F7F7F"/>
      <sz val="9"/>
    </font>
    <font>
      <sz val="9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D6DCE4"/>
        <bgColor rgb="00D6DCE4"/>
      </patternFill>
    </fill>
    <fill>
      <patternFill patternType="solid">
        <fgColor rgb="00C6EFCE"/>
        <bgColor rgb="00C6EFCE"/>
      </patternFill>
    </fill>
    <fill>
      <patternFill patternType="solid">
        <fgColor rgb="00FFE699"/>
        <bgColor rgb="00FFE699"/>
      </patternFill>
    </fill>
    <fill>
      <patternFill patternType="solid">
        <fgColor rgb="00E8F4F8"/>
        <bgColor rgb="00E8F4F8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6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11" fillId="7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0" fillId="6" borderId="0" pivotButton="0" quotePrefix="0" xfId="0"/>
    <xf numFmtId="0" fontId="12" fillId="0" borderId="0" pivotButton="0" quotePrefix="0" xfId="0"/>
    <xf numFmtId="0" fontId="13" fillId="6" borderId="1" applyAlignment="1" pivotButton="0" quotePrefix="0" xfId="0">
      <alignment horizontal="center"/>
    </xf>
    <xf numFmtId="0" fontId="14" fillId="0" borderId="0" pivotButton="0" quotePrefix="0" xfId="0"/>
    <xf numFmtId="0" fontId="10" fillId="0" borderId="0" pivotButton="0" quotePrefix="0" xfId="0"/>
    <xf numFmtId="164" fontId="7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/>
    </xf>
    <xf numFmtId="0" fontId="15" fillId="0" borderId="0" applyAlignment="1" pivotButton="0" quotePrefix="0" xfId="0">
      <alignment horizontal="left" vertical="center" wrapText="1"/>
    </xf>
    <xf numFmtId="0" fontId="10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25" customWidth="1" min="3" max="3"/>
    <col width="35" customWidth="1" min="4" max="4"/>
  </cols>
  <sheetData>
    <row r="1" ht="30" customHeight="1">
      <c r="A1" s="1" t="inlineStr">
        <is>
          <t>AUTOMOTIVE AFTERMARKET PRICING: 5 CORE PRICE DRIVERS &amp; KEY KPIs</t>
        </is>
      </c>
    </row>
    <row r="3" ht="25" customHeight="1">
      <c r="A3" s="2" t="inlineStr">
        <is>
          <t>Price Driver / KPI</t>
        </is>
      </c>
      <c r="B3" s="2" t="inlineStr">
        <is>
          <t>Definition / Formula</t>
        </is>
      </c>
      <c r="C3" s="2" t="inlineStr">
        <is>
          <t>Industry Benchmark</t>
        </is>
      </c>
      <c r="D3" s="2" t="inlineStr">
        <is>
          <t>Impact on Margin</t>
        </is>
      </c>
    </row>
    <row r="4" ht="20" customHeight="1">
      <c r="A4" s="3" t="inlineStr">
        <is>
          <t>1. VALUE CAPTURE</t>
        </is>
      </c>
      <c r="B4" s="18" t="n"/>
      <c r="C4" s="18" t="n"/>
      <c r="D4" s="19" t="n"/>
    </row>
    <row r="5" ht="25" customHeight="1">
      <c r="A5" s="4" t="inlineStr">
        <is>
          <t>Ability to price to customer willingness-to-pay and realize target prices</t>
        </is>
      </c>
      <c r="D5" s="5" t="inlineStr">
        <is>
          <t>40-50% of margin opportunity</t>
        </is>
      </c>
    </row>
    <row r="6" ht="30" customHeight="1">
      <c r="A6" s="6" t="inlineStr">
        <is>
          <t xml:space="preserve">   • Price Realization Index</t>
        </is>
      </c>
      <c r="B6" s="6" t="inlineStr">
        <is>
          <t>Net Realized Price ÷ List Price × 100</t>
        </is>
      </c>
      <c r="C6" s="7" t="inlineStr">
        <is>
          <t>88-94%</t>
        </is>
      </c>
      <c r="D6" s="6" t="inlineStr">
        <is>
          <t>Most critical metric</t>
        </is>
      </c>
    </row>
    <row r="7" ht="30" customHeight="1">
      <c r="A7" s="6" t="inlineStr">
        <is>
          <t xml:space="preserve">   • Discount Leakage (pp)</t>
        </is>
      </c>
      <c r="B7" s="6" t="inlineStr">
        <is>
          <t>Target Margin - Realized Margin</t>
        </is>
      </c>
      <c r="C7" s="7" t="inlineStr">
        <is>
          <t>3-8pp</t>
        </is>
      </c>
      <c r="D7" s="6" t="inlineStr">
        <is>
          <t>40-60% of total leakage</t>
        </is>
      </c>
    </row>
    <row r="8" ht="30" customHeight="1">
      <c r="A8" s="6" t="inlineStr">
        <is>
          <t xml:space="preserve">   • Average Discount %</t>
        </is>
      </c>
      <c r="B8" s="6" t="inlineStr">
        <is>
          <t>Total Discounts ÷ List Price Revenue × 100</t>
        </is>
      </c>
      <c r="C8" s="7" t="inlineStr">
        <is>
          <t>6-12%</t>
        </is>
      </c>
      <c r="D8" s="6" t="inlineStr">
        <is>
          <t>Direct margin impact</t>
        </is>
      </c>
    </row>
    <row r="9" ht="30" customHeight="1">
      <c r="A9" s="6" t="inlineStr">
        <is>
          <t xml:space="preserve">   • Premium vs IAM</t>
        </is>
      </c>
      <c r="B9" s="6" t="inlineStr">
        <is>
          <t>OEM Price ÷ IAM Competitive Price × 100</t>
        </is>
      </c>
      <c r="C9" s="7" t="inlineStr">
        <is>
          <t>110-140%</t>
        </is>
      </c>
      <c r="D9" s="6" t="inlineStr">
        <is>
          <t>Pricing power</t>
        </is>
      </c>
    </row>
    <row r="11" ht="20" customHeight="1">
      <c r="A11" s="3" t="inlineStr">
        <is>
          <t>2. CAPITAL EFFICIENCY</t>
        </is>
      </c>
      <c r="B11" s="18" t="n"/>
      <c r="C11" s="18" t="n"/>
      <c r="D11" s="19" t="n"/>
    </row>
    <row r="12" ht="25" customHeight="1">
      <c r="A12" s="4" t="inlineStr">
        <is>
          <t>Optimization of inventory investment vs. margin generation</t>
        </is>
      </c>
      <c r="D12" s="5" t="inlineStr">
        <is>
          <t>25-30% of margin opportunity</t>
        </is>
      </c>
    </row>
    <row r="13" ht="30" customHeight="1">
      <c r="A13" s="6" t="inlineStr">
        <is>
          <t xml:space="preserve">   • GMROII</t>
        </is>
      </c>
      <c r="B13" s="6" t="inlineStr">
        <is>
          <t>Gross Margin ÷ Average Inventory Value</t>
        </is>
      </c>
      <c r="C13" s="7" t="inlineStr">
        <is>
          <t>2.5-3.2x</t>
        </is>
      </c>
      <c r="D13" s="6" t="inlineStr">
        <is>
          <t>Capital productivity</t>
        </is>
      </c>
    </row>
    <row r="14" ht="30" customHeight="1">
      <c r="A14" s="6" t="inlineStr">
        <is>
          <t xml:space="preserve">   • Inventory Turns</t>
        </is>
      </c>
      <c r="B14" s="6" t="inlineStr">
        <is>
          <t>COGS ÷ Average Inventory Value</t>
        </is>
      </c>
      <c r="C14" s="7" t="inlineStr">
        <is>
          <t>3.8-4.5x</t>
        </is>
      </c>
      <c r="D14" s="6" t="inlineStr">
        <is>
          <t>Working capital velocity</t>
        </is>
      </c>
    </row>
    <row r="15" ht="30" customHeight="1">
      <c r="A15" s="6" t="inlineStr">
        <is>
          <t xml:space="preserve">   • Obsolescence Rate %</t>
        </is>
      </c>
      <c r="B15" s="6" t="inlineStr">
        <is>
          <t>Obsolete Inventory ÷ Total Inventory × 100</t>
        </is>
      </c>
      <c r="C15" s="7" t="inlineStr">
        <is>
          <t>2-5%</t>
        </is>
      </c>
      <c r="D15" s="6" t="inlineStr">
        <is>
          <t>Direct margin loss</t>
        </is>
      </c>
    </row>
    <row r="17" ht="20" customHeight="1">
      <c r="A17" s="3" t="inlineStr">
        <is>
          <t>3. OPERATIONAL EXCELLENCE</t>
        </is>
      </c>
      <c r="B17" s="18" t="n"/>
      <c r="C17" s="18" t="n"/>
      <c r="D17" s="19" t="n"/>
    </row>
    <row r="18" ht="25" customHeight="1">
      <c r="A18" s="4" t="inlineStr">
        <is>
          <t>Process efficiency in pricing execution and fulfillment</t>
        </is>
      </c>
      <c r="D18" s="5" t="inlineStr">
        <is>
          <t>15-20% of margin opportunity</t>
        </is>
      </c>
    </row>
    <row r="19" ht="30" customHeight="1">
      <c r="A19" s="6" t="inlineStr">
        <is>
          <t xml:space="preserve">   • Service Level %</t>
        </is>
      </c>
      <c r="B19" s="6" t="inlineStr">
        <is>
          <t>Orders Fulfilled ÷ Total Orders × 100</t>
        </is>
      </c>
      <c r="C19" s="7" t="inlineStr">
        <is>
          <t>95-98%</t>
        </is>
      </c>
      <c r="D19" s="6" t="inlineStr">
        <is>
          <t>Revenue protection</t>
        </is>
      </c>
    </row>
    <row r="20" ht="30" customHeight="1">
      <c r="A20" s="6" t="inlineStr">
        <is>
          <t xml:space="preserve">   • Forecast Accuracy</t>
        </is>
      </c>
      <c r="B20" s="6" t="inlineStr">
        <is>
          <t>Mean Absolute % Error</t>
        </is>
      </c>
      <c r="C20" s="7" t="inlineStr">
        <is>
          <t>15-25%</t>
        </is>
      </c>
      <c r="D20" s="6" t="inlineStr">
        <is>
          <t>Inventory optimization</t>
        </is>
      </c>
    </row>
    <row r="21" ht="30" customHeight="1">
      <c r="A21" s="6" t="inlineStr">
        <is>
          <t xml:space="preserve">   • New Part Cycle Time</t>
        </is>
      </c>
      <c r="B21" s="6" t="inlineStr">
        <is>
          <t>Time: Technical Release → Price Valid</t>
        </is>
      </c>
      <c r="C21" s="7" t="inlineStr">
        <is>
          <t>&lt;30 seconds</t>
        </is>
      </c>
      <c r="D21" s="6" t="inlineStr">
        <is>
          <t>Speed to market</t>
        </is>
      </c>
    </row>
    <row r="22" ht="30" customHeight="1">
      <c r="A22" s="6" t="inlineStr">
        <is>
          <t xml:space="preserve">   • Order Fulfillment Cost</t>
        </is>
      </c>
      <c r="B22" s="6" t="inlineStr">
        <is>
          <t>Cost per Order Line</t>
        </is>
      </c>
      <c r="C22" s="7" t="inlineStr">
        <is>
          <t>€2-5</t>
        </is>
      </c>
      <c r="D22" s="6" t="inlineStr">
        <is>
          <t>Operational margin</t>
        </is>
      </c>
    </row>
    <row r="24" ht="20" customHeight="1">
      <c r="A24" s="3" t="inlineStr">
        <is>
          <t>4. MARKET POSITIONING</t>
        </is>
      </c>
      <c r="B24" s="18" t="n"/>
      <c r="C24" s="18" t="n"/>
      <c r="D24" s="19" t="n"/>
    </row>
    <row r="25" ht="25" customHeight="1">
      <c r="A25" s="4" t="inlineStr">
        <is>
          <t>Competitive strength and market share maintenance</t>
        </is>
      </c>
      <c r="D25" s="5" t="inlineStr">
        <is>
          <t>10-15% of margin opportunity</t>
        </is>
      </c>
    </row>
    <row r="26" ht="30" customHeight="1">
      <c r="A26" s="6" t="inlineStr">
        <is>
          <t xml:space="preserve">   • OEM Share of Repair Spend</t>
        </is>
      </c>
      <c r="B26" s="6" t="inlineStr">
        <is>
          <t>Genuine Parts Revenue ÷ Total Repair Market</t>
        </is>
      </c>
      <c r="C26" s="7" t="inlineStr">
        <is>
          <t>45-70%</t>
        </is>
      </c>
      <c r="D26" s="6" t="inlineStr">
        <is>
          <t>Volume driver</t>
        </is>
      </c>
    </row>
    <row r="27" ht="30" customHeight="1">
      <c r="A27" s="6" t="inlineStr">
        <is>
          <t xml:space="preserve">   • Customer Retention Rate</t>
        </is>
      </c>
      <c r="B27" s="6" t="inlineStr">
        <is>
          <t>Retained Customers ÷ Total × 100</t>
        </is>
      </c>
      <c r="C27" s="7" t="inlineStr">
        <is>
          <t>85-92%</t>
        </is>
      </c>
      <c r="D27" s="6" t="inlineStr">
        <is>
          <t>Lifetime value</t>
        </is>
      </c>
    </row>
    <row r="28" ht="30" customHeight="1">
      <c r="A28" s="6" t="inlineStr">
        <is>
          <t xml:space="preserve">   • Price Elasticity</t>
        </is>
      </c>
      <c r="B28" s="6" t="inlineStr">
        <is>
          <t>% Vol Change ÷ % Price Change</t>
        </is>
      </c>
      <c r="C28" s="7" t="inlineStr">
        <is>
          <t>-0.2 to -0.5</t>
        </is>
      </c>
      <c r="D28" s="6" t="inlineStr">
        <is>
          <t>Pricing flexibility</t>
        </is>
      </c>
    </row>
    <row r="30" ht="20" customHeight="1">
      <c r="A30" s="3" t="inlineStr">
        <is>
          <t>5. GOVERNANCE &amp; CONTROL</t>
        </is>
      </c>
      <c r="B30" s="18" t="n"/>
      <c r="C30" s="18" t="n"/>
      <c r="D30" s="19" t="n"/>
    </row>
    <row r="31" ht="25" customHeight="1">
      <c r="A31" s="4" t="inlineStr">
        <is>
          <t>Process discipline preventing margin erosion</t>
        </is>
      </c>
      <c r="D31" s="5" t="inlineStr">
        <is>
          <t>5-10% of margin opportunity</t>
        </is>
      </c>
    </row>
    <row r="32" ht="30" customHeight="1">
      <c r="A32" s="6" t="inlineStr">
        <is>
          <t xml:space="preserve">   • Approval Compliance %</t>
        </is>
      </c>
      <c r="B32" s="6" t="inlineStr">
        <is>
          <t>Approved ÷ Submitted Changes × 100</t>
        </is>
      </c>
      <c r="C32" s="7" t="inlineStr">
        <is>
          <t>&gt;95%</t>
        </is>
      </c>
      <c r="D32" s="6" t="inlineStr">
        <is>
          <t>Process adherence</t>
        </is>
      </c>
    </row>
    <row r="33" ht="30" customHeight="1">
      <c r="A33" s="6" t="inlineStr">
        <is>
          <t xml:space="preserve">   • Price Exception Rate %</t>
        </is>
      </c>
      <c r="B33" s="6" t="inlineStr">
        <is>
          <t>Manual Overrides ÷ Total Transactions × 100</t>
        </is>
      </c>
      <c r="C33" s="7" t="inlineStr">
        <is>
          <t>&lt;10%</t>
        </is>
      </c>
      <c r="D33" s="6" t="inlineStr">
        <is>
          <t>Control effectiveness</t>
        </is>
      </c>
    </row>
    <row r="34" ht="30" customHeight="1">
      <c r="A34" s="6" t="inlineStr">
        <is>
          <t xml:space="preserve">   • Audit Trail Completeness</t>
        </is>
      </c>
      <c r="B34" s="6" t="inlineStr">
        <is>
          <t>Logged Changes ÷ All Changes × 100</t>
        </is>
      </c>
      <c r="C34" s="7" t="inlineStr">
        <is>
          <t>100%</t>
        </is>
      </c>
      <c r="D34" s="6" t="inlineStr">
        <is>
          <t>Governance foundation</t>
        </is>
      </c>
    </row>
  </sheetData>
  <mergeCells count="11">
    <mergeCell ref="A1:D1"/>
    <mergeCell ref="A17:D17"/>
    <mergeCell ref="A25:C25"/>
    <mergeCell ref="A5:C5"/>
    <mergeCell ref="A4:D4"/>
    <mergeCell ref="A31:C31"/>
    <mergeCell ref="A30:D30"/>
    <mergeCell ref="A18:C18"/>
    <mergeCell ref="A24:D24"/>
    <mergeCell ref="A11:D11"/>
    <mergeCell ref="A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40" customWidth="1" min="3" max="3"/>
    <col width="30" customWidth="1" min="4" max="4"/>
  </cols>
  <sheetData>
    <row r="1" ht="30" customHeight="1">
      <c r="A1" s="1" t="inlineStr">
        <is>
          <t>INDUSTRY BENCHMARK SOURCES - COMPLETE TRANSPARENCY</t>
        </is>
      </c>
    </row>
    <row r="3">
      <c r="A3" s="2" t="inlineStr">
        <is>
          <t>Source</t>
        </is>
      </c>
      <c r="B3" s="2" t="inlineStr">
        <is>
          <t>What They Provide</t>
        </is>
      </c>
      <c r="C3" s="2" t="inlineStr">
        <is>
          <t>Specific Benchmarks Used</t>
        </is>
      </c>
      <c r="D3" s="2" t="inlineStr">
        <is>
          <t>Confidence Level</t>
        </is>
      </c>
    </row>
    <row r="4" ht="60" customHeight="1">
      <c r="A4" s="8" t="inlineStr">
        <is>
          <t>McKinsey &amp; Company</t>
        </is>
      </c>
      <c r="B4" s="8" t="inlineStr">
        <is>
          <t>B2B pricing waterfall diagnostics for industrial sectors</t>
        </is>
      </c>
      <c r="C4" s="8" t="inlineStr">
        <is>
          <t>• Total margin leakage: 6-15pp
• Discount stage: 40-60% of total
• Pricing governance frameworks</t>
        </is>
      </c>
      <c r="D4" s="9" t="inlineStr">
        <is>
          <t>HIGH</t>
        </is>
      </c>
    </row>
    <row r="5" ht="60" customHeight="1">
      <c r="A5" s="8" t="inlineStr">
        <is>
          <t>Bain &amp; Company</t>
        </is>
      </c>
      <c r="B5" s="8" t="inlineStr">
        <is>
          <t>Automotive aftermarket pricing studies</t>
        </is>
      </c>
      <c r="C5" s="8" t="inlineStr">
        <is>
          <t>• Discount leakage: 3-8pp
• OEM vs IAM competitive dynamics
• Channel margin structures</t>
        </is>
      </c>
      <c r="D5" s="9" t="inlineStr">
        <is>
          <t>HIGH</t>
        </is>
      </c>
    </row>
    <row r="6" ht="60" customHeight="1">
      <c r="A6" s="8" t="inlineStr">
        <is>
          <t>Roland Berger</t>
        </is>
      </c>
      <c r="B6" s="8" t="inlineStr">
        <is>
          <t>OEM aftermarket economics and profitability</t>
        </is>
      </c>
      <c r="C6" s="8" t="inlineStr">
        <is>
          <t>• Gross margins: 30-50% for premium OEMs
• Brand premium analysis
• Aftermarket business models</t>
        </is>
      </c>
      <c r="D6" s="9" t="inlineStr">
        <is>
          <t>HIGH</t>
        </is>
      </c>
    </row>
    <row r="7" ht="60" customHeight="1">
      <c r="A7" s="8" t="inlineStr">
        <is>
          <t>IHS Markit / S&amp;P Global Mobility</t>
        </is>
      </c>
      <c r="B7" s="8" t="inlineStr">
        <is>
          <t>Automotive aftermarket data and analytics</t>
        </is>
      </c>
      <c r="C7" s="8" t="inlineStr">
        <is>
          <t>• Obsolescence rates: 2-5%
• Parts lifecycle analysis
• EV transition impact projections</t>
        </is>
      </c>
      <c r="D7" s="9" t="inlineStr">
        <is>
          <t>HIGH</t>
        </is>
      </c>
    </row>
    <row r="8" ht="60" customHeight="1">
      <c r="A8" s="8" t="inlineStr">
        <is>
          <t>CLEPA (European Automotive Suppliers)</t>
        </is>
      </c>
      <c r="B8" s="8" t="inlineStr">
        <is>
          <t>European parts distribution economics</t>
        </is>
      </c>
      <c r="C8" s="8" t="inlineStr">
        <is>
          <t>• Price realization: 88-94%
• IAM competitive pressure
• Distribution channel data</t>
        </is>
      </c>
      <c r="D8" s="8" t="inlineStr">
        <is>
          <t>MEDIUM-HIGH</t>
        </is>
      </c>
    </row>
    <row r="9" ht="60" customHeight="1">
      <c r="A9" s="8" t="inlineStr">
        <is>
          <t>General Consulting Benchmarks</t>
        </is>
      </c>
      <c r="B9" s="8" t="inlineStr">
        <is>
          <t>Aggregated operational KPIs across consulting firms</t>
        </is>
      </c>
      <c r="C9" s="8" t="inlineStr">
        <is>
          <t>• GMROII ranges: 2.5-3.2x
• Inventory turns: 3.8-4.5x
• Service levels: 95-98%</t>
        </is>
      </c>
      <c r="D9" s="8" t="inlineStr">
        <is>
          <t>MEDIUM</t>
        </is>
      </c>
    </row>
    <row r="12">
      <c r="A12" s="10" t="inlineStr">
        <is>
          <t>IMPORTANT CLARIFICATIONS</t>
        </is>
      </c>
    </row>
    <row r="13" ht="25" customHeight="1">
      <c r="A13" s="11" t="inlineStr">
        <is>
          <t>✓ All benchmarks above are from PUBLISHED INDUSTRY SOURCES - not BMW-specific data</t>
        </is>
      </c>
    </row>
    <row r="14" ht="25" customHeight="1">
      <c r="A14" s="11" t="inlineStr">
        <is>
          <t>✓ These sources provide RANGES representing typical OEM performance across the industry</t>
        </is>
      </c>
    </row>
    <row r="15" ht="25" customHeight="1">
      <c r="A15" s="11" t="inlineStr">
        <is>
          <t>✓ Premium OEMs typically perform in UPPER QUARTILE (top 25%) of these ranges</t>
        </is>
      </c>
    </row>
    <row r="16" ht="25" customHeight="1">
      <c r="A16" s="5" t="inlineStr">
        <is>
          <t>✗ NO BMW-SPECIFIC PERFORMANCE DATA is available from public sources or the RFI document</t>
        </is>
      </c>
    </row>
    <row r="17" ht="25" customHeight="1">
      <c r="A17" s="5" t="inlineStr">
        <is>
          <t>✗ BMW does NOT disclose operational pricing KPIs in annual reports or investor materials</t>
        </is>
      </c>
    </row>
    <row r="18" ht="25" customHeight="1">
      <c r="A18" s="5" t="inlineStr">
        <is>
          <t>✗ The RFI document contains requirements and use cases, NOT current BMW performance metrics</t>
        </is>
      </c>
    </row>
    <row r="19" ht="25" customHeight="1">
      <c r="A19" s="12" t="inlineStr">
        <is>
          <t>→ BMW ACTUAL BASELINE must be established during discovery/assessment phase</t>
        </is>
      </c>
    </row>
    <row r="20" ht="25" customHeight="1">
      <c r="A20" s="12" t="inlineStr">
        <is>
          <t>→ All value calculations are SCENARIO-BASED using industry benchmark ranges</t>
        </is>
      </c>
    </row>
  </sheetData>
  <mergeCells count="10">
    <mergeCell ref="A1:D1"/>
    <mergeCell ref="A17:D17"/>
    <mergeCell ref="A18:D18"/>
    <mergeCell ref="A12:D12"/>
    <mergeCell ref="A20:D20"/>
    <mergeCell ref="A15:D15"/>
    <mergeCell ref="A16:D16"/>
    <mergeCell ref="A19:D19"/>
    <mergeCell ref="A13:D13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35" customWidth="1" min="4" max="4"/>
  </cols>
  <sheetData>
    <row r="1" ht="30" customHeight="1">
      <c r="A1" s="1" t="inlineStr">
        <is>
          <t>VALUE OPPORTUNITY SCENARIOS - INDEXED TO €100M REVENUE</t>
        </is>
      </c>
    </row>
    <row r="2">
      <c r="A2" s="13" t="inlineStr">
        <is>
          <t>Based on Industry Benchmarks - BMW Baseline TBD</t>
        </is>
      </c>
    </row>
    <row r="3" ht="25" customHeight="1">
      <c r="A3" s="20" t="inlineStr">
        <is>
          <t>All values normalized to €100M revenue baseline for scalability across different revenue levels</t>
        </is>
      </c>
    </row>
    <row r="4"/>
    <row r="5" ht="30" customHeight="1">
      <c r="A5" s="2" t="inlineStr">
        <is>
          <t>Metric</t>
        </is>
      </c>
      <c r="B5" s="2" t="inlineStr">
        <is>
          <t>Upper Quartile
(Best-in-Class)</t>
        </is>
      </c>
      <c r="C5" s="2" t="inlineStr">
        <is>
          <t>Lower Quartile
(Below Average)</t>
        </is>
      </c>
      <c r="D5" s="2" t="inlineStr">
        <is>
          <t>Delta</t>
        </is>
      </c>
    </row>
    <row r="6" ht="30" customHeight="1">
      <c r="A6" s="6" t="inlineStr">
        <is>
          <t>Total Margin Leakage</t>
        </is>
      </c>
      <c r="B6" s="14" t="inlineStr">
        <is>
          <t>-3.3pp</t>
        </is>
      </c>
      <c r="C6" s="14" t="inlineStr">
        <is>
          <t>-8.7pp</t>
        </is>
      </c>
      <c r="D6" s="14" t="inlineStr">
        <is>
          <t>5.4pp difference</t>
        </is>
      </c>
    </row>
    <row r="7" ht="30" customHeight="1">
      <c r="A7" s="6" t="inlineStr">
        <is>
          <t>Euro Impact per €100M</t>
        </is>
      </c>
      <c r="B7" s="14" t="inlineStr">
        <is>
          <t>-€3.3M</t>
        </is>
      </c>
      <c r="C7" s="14" t="inlineStr">
        <is>
          <t>-€8.7M</t>
        </is>
      </c>
      <c r="D7" s="14" t="inlineStr">
        <is>
          <t>€5.4M difference</t>
        </is>
      </c>
    </row>
    <row r="8" ht="30" customHeight="1">
      <c r="A8" s="6" t="inlineStr">
        <is>
          <t>Step 6 Discount Impact</t>
        </is>
      </c>
      <c r="B8" s="14" t="inlineStr">
        <is>
          <t>-2.0pp / -€2.0M</t>
        </is>
      </c>
      <c r="C8" s="14" t="inlineStr">
        <is>
          <t>-4.0pp / -€4.0M</t>
        </is>
      </c>
      <c r="D8" s="14" t="inlineStr">
        <is>
          <t>2x worse</t>
        </is>
      </c>
    </row>
    <row r="9" ht="30" customHeight="1">
      <c r="A9" s="6" t="inlineStr">
        <is>
          <t>Improvement Potential</t>
        </is>
      </c>
      <c r="B9" s="14" t="inlineStr">
        <is>
          <t>+2.0pp / +€2.0M</t>
        </is>
      </c>
      <c r="C9" s="14" t="inlineStr">
        <is>
          <t>+4.0pp / +€4.0M</t>
        </is>
      </c>
      <c r="D9" s="14" t="inlineStr">
        <is>
          <t>2x higher opportunity</t>
        </is>
      </c>
    </row>
    <row r="10" ht="30" customHeight="1">
      <c r="A10" s="15" t="inlineStr"/>
      <c r="B10" s="16" t="inlineStr"/>
      <c r="C10" s="16" t="inlineStr"/>
      <c r="D10" s="16" t="inlineStr"/>
    </row>
    <row r="11" ht="30" customHeight="1">
      <c r="A11" s="15" t="inlineStr">
        <is>
          <t>IF BMW Aftersales = €5B:</t>
        </is>
      </c>
      <c r="B11" s="16" t="inlineStr"/>
      <c r="C11" s="16" t="inlineStr"/>
      <c r="D11" s="16" t="inlineStr"/>
    </row>
    <row r="12" ht="30" customHeight="1">
      <c r="A12" s="6" t="inlineStr">
        <is>
          <t xml:space="preserve">  Total Leakage</t>
        </is>
      </c>
      <c r="B12" s="14" t="inlineStr">
        <is>
          <t>€165M</t>
        </is>
      </c>
      <c r="C12" s="14" t="inlineStr">
        <is>
          <t>€435M</t>
        </is>
      </c>
      <c r="D12" s="14" t="inlineStr">
        <is>
          <t>€270M difference</t>
        </is>
      </c>
    </row>
    <row r="13">
      <c r="A13" s="6" t="inlineStr">
        <is>
          <t xml:space="preserve">  Recovery Potential</t>
        </is>
      </c>
      <c r="B13" s="14" t="inlineStr">
        <is>
          <t>€100M</t>
        </is>
      </c>
      <c r="C13" s="14" t="inlineStr">
        <is>
          <t>€200M</t>
        </is>
      </c>
      <c r="D13" s="14" t="inlineStr">
        <is>
          <t>€100M difference</t>
        </is>
      </c>
    </row>
    <row r="14"/>
    <row r="15"/>
    <row r="16" ht="25" customHeight="1">
      <c r="A16" s="17" t="inlineStr">
        <is>
          <t>KEY MESSAGE FOR RFP</t>
        </is>
      </c>
    </row>
    <row r="17" ht="25" customHeight="1">
      <c r="A17" s="11" t="inlineStr">
        <is>
          <t>✓ Industry benchmarks show 2.6x variation between upper and lower quartile performance</t>
        </is>
      </c>
    </row>
    <row r="18" ht="25" customHeight="1">
      <c r="A18" s="11" t="inlineStr">
        <is>
          <t>✓ Premium OEMs with strong governance typically achieve upper quartile results</t>
        </is>
      </c>
    </row>
    <row r="19" ht="25" customHeight="1">
      <c r="A19" s="11" t="inlineStr">
        <is>
          <t>✓ BMW's actual position within these ranges to be determined during discovery phase</t>
        </is>
      </c>
    </row>
    <row r="20" ht="25" customHeight="1">
      <c r="A20" s="11" t="inlineStr">
        <is>
          <t>✓ Value opportunity sizing will be refined based on BMW baseline assessment</t>
        </is>
      </c>
    </row>
    <row r="21" ht="25" customHeight="1">
      <c r="A21" s="12" t="inlineStr">
        <is>
          <t>→ Conservative approach: Assume mid-range and demonstrate path to upper quartile</t>
        </is>
      </c>
    </row>
    <row r="22">
      <c r="A22" s="12" t="inlineStr">
        <is>
          <t>→ Present as 'IF...THEN' scenarios rather than definitive BMW claims</t>
        </is>
      </c>
    </row>
  </sheetData>
  <mergeCells count="10">
    <mergeCell ref="A1:D1"/>
    <mergeCell ref="A17:D17"/>
    <mergeCell ref="A18:D18"/>
    <mergeCell ref="A20:D20"/>
    <mergeCell ref="A21:D21"/>
    <mergeCell ref="A3:D3"/>
    <mergeCell ref="A15:D15"/>
    <mergeCell ref="A16:D16"/>
    <mergeCell ref="A2:D2"/>
    <mergeCell ref="A19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</cols>
  <sheetData>
    <row r="1" ht="30" customHeight="1">
      <c r="A1" s="1" t="inlineStr">
        <is>
          <t>REVENUE SCALING CALCULATOR - INDEX FROM €100M BASE</t>
        </is>
      </c>
    </row>
    <row r="2">
      <c r="A2" s="21" t="inlineStr">
        <is>
          <t>Use this calculator to scale indexed values to any revenue level</t>
        </is>
      </c>
    </row>
    <row r="4">
      <c r="A4" s="22" t="inlineStr">
        <is>
          <t>INPUT: YOUR REVENUE (€M)</t>
        </is>
      </c>
      <c r="B4" s="23" t="inlineStr">
        <is>
          <t>Enter here →</t>
        </is>
      </c>
      <c r="C4" s="24" t="n">
        <v>5000</v>
      </c>
      <c r="D4" s="25" t="inlineStr">
        <is>
          <t>(Example: BMW est. €5,000M)</t>
        </is>
      </c>
    </row>
    <row r="6">
      <c r="A6" s="26" t="inlineStr">
        <is>
          <t>Scaling Factor</t>
        </is>
      </c>
      <c r="C6" s="27">
        <f>C4/100</f>
        <v/>
      </c>
      <c r="D6" s="25" t="inlineStr">
        <is>
          <t>(Your Revenue ÷ 100)</t>
        </is>
      </c>
    </row>
    <row r="9">
      <c r="A9" s="28" t="inlineStr">
        <is>
          <t>SCALED VALUE OPPORTUNITY - UPPER QUARTILE SCENARIO</t>
        </is>
      </c>
    </row>
    <row r="10">
      <c r="A10" s="2" t="inlineStr">
        <is>
          <t>Metric</t>
        </is>
      </c>
      <c r="B10" s="2" t="inlineStr">
        <is>
          <t>Per €100M
(Index Base)</t>
        </is>
      </c>
      <c r="C10" s="2" t="inlineStr">
        <is>
          <t>Your Revenue
(Scaled)</t>
        </is>
      </c>
      <c r="D10" s="2" t="inlineStr">
        <is>
          <t>Notes</t>
        </is>
      </c>
    </row>
    <row r="11" ht="25" customHeight="1">
      <c r="A11" s="29" t="inlineStr">
        <is>
          <t>Total Margin Leakage</t>
        </is>
      </c>
      <c r="B11" s="30" t="inlineStr">
        <is>
          <t>-€3.3M</t>
        </is>
      </c>
      <c r="C11" s="31">
        <f>B11*$C$6</f>
        <v/>
      </c>
      <c r="D11" s="29" t="inlineStr">
        <is>
          <t>Upper quartile performance</t>
        </is>
      </c>
    </row>
    <row r="12" ht="25" customHeight="1">
      <c r="A12" s="29" t="inlineStr">
        <is>
          <t>Step 6 Discount Impact</t>
        </is>
      </c>
      <c r="B12" s="30" t="inlineStr">
        <is>
          <t>-€2.0M</t>
        </is>
      </c>
      <c r="C12" s="31">
        <f>B12*$C$6</f>
        <v/>
      </c>
      <c r="D12" s="29" t="inlineStr">
        <is>
          <t>Largest single driver</t>
        </is>
      </c>
    </row>
    <row r="13" ht="25" customHeight="1">
      <c r="A13" s="29" t="inlineStr">
        <is>
          <t>Recovery Potential</t>
        </is>
      </c>
      <c r="B13" s="30" t="inlineStr">
        <is>
          <t>+€2.0M</t>
        </is>
      </c>
      <c r="C13" s="31">
        <f>B13*$C$6</f>
        <v/>
      </c>
      <c r="D13" s="29" t="inlineStr">
        <is>
          <t>Improvement to best-in-class</t>
        </is>
      </c>
    </row>
    <row r="16">
      <c r="A16" s="28" t="inlineStr">
        <is>
          <t>SCALED VALUE OPPORTUNITY - LOWER QUARTILE SCENARIO</t>
        </is>
      </c>
    </row>
    <row r="17">
      <c r="A17" s="2" t="inlineStr">
        <is>
          <t>Metric</t>
        </is>
      </c>
      <c r="B17" s="2" t="inlineStr">
        <is>
          <t>Per €100M
(Index Base)</t>
        </is>
      </c>
      <c r="C17" s="2" t="inlineStr">
        <is>
          <t>Your Revenue
(Scaled)</t>
        </is>
      </c>
      <c r="D17" s="2" t="inlineStr">
        <is>
          <t>Notes</t>
        </is>
      </c>
    </row>
    <row r="18" ht="25" customHeight="1">
      <c r="A18" s="29" t="inlineStr">
        <is>
          <t>Total Margin Leakage</t>
        </is>
      </c>
      <c r="B18" s="30" t="inlineStr">
        <is>
          <t>-€8.7M</t>
        </is>
      </c>
      <c r="C18" s="31">
        <f>B18*$C$6</f>
        <v/>
      </c>
      <c r="D18" s="29" t="inlineStr">
        <is>
          <t>Lower quartile performance</t>
        </is>
      </c>
    </row>
    <row r="19" ht="25" customHeight="1">
      <c r="A19" s="29" t="inlineStr">
        <is>
          <t>Step 6 Discount Impact</t>
        </is>
      </c>
      <c r="B19" s="30" t="inlineStr">
        <is>
          <t>-€4.0M</t>
        </is>
      </c>
      <c r="C19" s="31">
        <f>B19*$C$6</f>
        <v/>
      </c>
      <c r="D19" s="29" t="inlineStr">
        <is>
          <t>Largest single driver</t>
        </is>
      </c>
    </row>
    <row r="20" ht="25" customHeight="1">
      <c r="A20" s="29" t="inlineStr">
        <is>
          <t>Recovery Potential</t>
        </is>
      </c>
      <c r="B20" s="30" t="inlineStr">
        <is>
          <t>+€4.0M</t>
        </is>
      </c>
      <c r="C20" s="31">
        <f>B20*$C$6</f>
        <v/>
      </c>
      <c r="D20" s="29" t="inlineStr">
        <is>
          <t>Improvement to best-in-class</t>
        </is>
      </c>
    </row>
    <row r="24">
      <c r="A24" s="32" t="inlineStr">
        <is>
          <t>HOW TO USE THIS CALCULATOR</t>
        </is>
      </c>
    </row>
    <row r="25" ht="20" customHeight="1">
      <c r="A25" s="33" t="inlineStr">
        <is>
          <t>1. Enter your estimated aftersales revenue in cell C4 (in millions of euros)</t>
        </is>
      </c>
    </row>
    <row r="26" ht="20" customHeight="1">
      <c r="A26" s="33" t="inlineStr">
        <is>
          <t>2. The scaling factor will automatically calculate (your revenue ÷ 100)</t>
        </is>
      </c>
    </row>
    <row r="27" ht="20" customHeight="1">
      <c r="A27" s="33" t="inlineStr">
        <is>
          <t>3. All green cells will automatically scale to show impact at your revenue level</t>
        </is>
      </c>
    </row>
    <row r="28" ht="20" customHeight="1">
      <c r="A28" s="33" t="inlineStr">
        <is>
          <t>4. Example: If you enter 5000 (for €5B), all values multiply by 50x</t>
        </is>
      </c>
    </row>
    <row r="29" ht="20" customHeight="1">
      <c r="A29" s="33" t="inlineStr">
        <is>
          <t xml:space="preserve">   • Upper quartile total leakage: €3.3M × 50 = €165M</t>
        </is>
      </c>
    </row>
    <row r="30" ht="20" customHeight="1">
      <c r="A30" s="33" t="inlineStr">
        <is>
          <t xml:space="preserve">   • Lower quartile total leakage: €8.7M × 50 = €435M</t>
        </is>
      </c>
    </row>
    <row r="31" ht="20" customHeight="1">
      <c r="A31" s="33" t="inlineStr">
        <is>
          <t>5. Change the revenue input to model different scenarios</t>
        </is>
      </c>
    </row>
    <row r="34">
      <c r="A34" s="34" t="inlineStr">
        <is>
          <t>INDEX METHODOLOGY</t>
        </is>
      </c>
    </row>
    <row r="35" ht="20" customHeight="1">
      <c r="A35" s="33" t="inlineStr">
        <is>
          <t>• All industry benchmarks are expressed as percentage points (pp) or percentages (%)</t>
        </is>
      </c>
    </row>
    <row r="36" ht="20" customHeight="1">
      <c r="A36" s="33" t="inlineStr">
        <is>
          <t>• To convert to absolute euros, we apply: Impact (pp) × Revenue = € Impact</t>
        </is>
      </c>
    </row>
    <row r="37" ht="20" customHeight="1">
      <c r="A37" s="33" t="inlineStr">
        <is>
          <t>• Example: 3.3pp leakage on €100M = €3.3M absolute impact</t>
        </is>
      </c>
    </row>
    <row r="38" ht="20" customHeight="1">
      <c r="A38" s="33" t="inlineStr">
        <is>
          <t>• This creates a LINEAR SCALING relationship: Double revenue = Double impact</t>
        </is>
      </c>
    </row>
    <row r="39" ht="20" customHeight="1">
      <c r="A39" s="33" t="inlineStr">
        <is>
          <t>• €100M base chosen as standard industry reference point for easy mental math</t>
        </is>
      </c>
    </row>
    <row r="40" ht="20" customHeight="1">
      <c r="A40" s="33" t="inlineStr">
        <is>
          <t>• BMW estimated at €5B = 50x multiplier from €100M base</t>
        </is>
      </c>
    </row>
    <row r="41" ht="20" customHeight="1">
      <c r="A41" s="33" t="inlineStr">
        <is>
          <t>• This methodology is consistent with McKinsey/Bain value quantification approaches</t>
        </is>
      </c>
    </row>
  </sheetData>
  <mergeCells count="20">
    <mergeCell ref="A35:D35"/>
    <mergeCell ref="A38:D38"/>
    <mergeCell ref="A29:D29"/>
    <mergeCell ref="A28:D28"/>
    <mergeCell ref="A40:D40"/>
    <mergeCell ref="A9:D9"/>
    <mergeCell ref="A31:D31"/>
    <mergeCell ref="A34:D34"/>
    <mergeCell ref="A30:D30"/>
    <mergeCell ref="A39:D39"/>
    <mergeCell ref="A24:D24"/>
    <mergeCell ref="A36:D36"/>
    <mergeCell ref="A1:D1"/>
    <mergeCell ref="A25:D25"/>
    <mergeCell ref="A41:D41"/>
    <mergeCell ref="A16:D16"/>
    <mergeCell ref="A37:D37"/>
    <mergeCell ref="A27:D27"/>
    <mergeCell ref="A26:D2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2026-02-23T17:16:58Z</dcterms:created>
  <dcterms:modified xmlns:dcterms="http://purl.org/dc/terms/" xmlns:xsi="http://www.w3.org/2001/XMLSchema-instance" xsi:type="dcterms:W3CDTF">2026-02-24T04:05:41Z</dcterms:modified>
</cp:coreProperties>
</file>